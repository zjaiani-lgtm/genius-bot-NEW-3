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30" yWindow="4215" windowWidth="21600" windowHeight="11385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IGHT_THRESHOLD_MATRIX" sheetId="2" state="visible" r:id="rId2"/>
    <sheet xmlns:r="http://schemas.openxmlformats.org/officeDocument/2006/relationships" name="SIGNAL_OUTBOX" sheetId="3" state="visible" r:id="rId3"/>
    <sheet xmlns:r="http://schemas.openxmlformats.org/officeDocument/2006/relationships" name="VOLATILITY_REGIME" sheetId="4" state="visible" r:id="rId4"/>
    <sheet xmlns:r="http://schemas.openxmlformats.org/officeDocument/2006/relationships" name="TRADE_FREQUENCY_GOVERNOR" sheetId="5" state="visible" r:id="rId5"/>
    <sheet xmlns:r="http://schemas.openxmlformats.org/officeDocument/2006/relationships" name="CAPITAL_PRESERVATION_MODE" sheetId="6" state="visible" r:id="rId6"/>
    <sheet xmlns:r="http://schemas.openxmlformats.org/officeDocument/2006/relationships" name="SLIPPAGE_CONTROL" sheetId="7" state="visible" r:id="rId7"/>
    <sheet xmlns:r="http://schemas.openxmlformats.org/officeDocument/2006/relationships" name="ROLLING_EDGE_MONITOR" sheetId="8" state="visible" r:id="rId8"/>
    <sheet xmlns:r="http://schemas.openxmlformats.org/officeDocument/2006/relationships" name="PORTFOLIO_RISK_ENGINE" sheetId="9" state="visible" r:id="rId9"/>
    <sheet xmlns:r="http://schemas.openxmlformats.org/officeDocument/2006/relationships" name="PYTHON_BRIDGE" sheetId="10" state="visible" r:id="rId10"/>
    <sheet xmlns:r="http://schemas.openxmlformats.org/officeDocument/2006/relationships" name="AI_HELPERS" sheetId="11" state="visible" r:id="rId11"/>
    <sheet xmlns:r="http://schemas.openxmlformats.org/officeDocument/2006/relationships" name="AI_INSTITUTIONAL" sheetId="12" state="visible" r:id="rId12"/>
    <sheet xmlns:r="http://schemas.openxmlformats.org/officeDocument/2006/relationships" name="INSTITUTIONAL_HARDENING" sheetId="13" state="visible" r:id="rId13"/>
    <sheet xmlns:r="http://schemas.openxmlformats.org/officeDocument/2006/relationships" name="MRJ_PARAMETERS" sheetId="14" state="visible" r:id="rId14"/>
    <sheet xmlns:r="http://schemas.openxmlformats.org/officeDocument/2006/relationships" name="CONFIDENCE_PIPELINE" sheetId="15" state="visible" r:id="rId15"/>
    <sheet xmlns:r="http://schemas.openxmlformats.org/officeDocument/2006/relationships" name="SIGNAL_GATING" sheetId="16" state="visible" r:id="rId16"/>
    <sheet xmlns:r="http://schemas.openxmlformats.org/officeDocument/2006/relationships" name="ADAPTIVE_FEEDBACK" sheetId="17" state="visible" r:id="rId17"/>
  </sheets>
  <definedNames>
    <definedName name="confidence_score">'PYTHON_BRIDGE'!$B$7</definedName>
    <definedName name="volatility_regime">'PYTHON_BRIDGE'!$B$8</definedName>
    <definedName name="volume_score">'PYTHON_BRIDGE'!$B$9</definedName>
    <definedName name="trend_strength">'PYTHON_BRIDGE'!$B$10</definedName>
    <definedName name="structure_ok">'PYTHON_BRIDGE'!$B$11</definedName>
    <definedName name="symbol_name">'PYTHON_BRIDGE'!$B$12</definedName>
    <definedName name="DD_SOFT">'MRJ_PARAMETERS'!$B2$</definedName>
    <definedName name="DD_HARD">'MRJ_PARAMETERS'!$B3$</definedName>
    <definedName name="DD_EMERG">'MRJ_PARAMETERS'!$B4$</definedName>
    <definedName name="LATENCY_MAX_MS">'MRJ_PARAMETERS'!$B5$</definedName>
    <definedName name="LOSS_SCALE">'MRJ_PARAMETERS'!$B6$</definedName>
    <definedName name="ATR_PCTL">'PYTHON_BRIDGE'!$A2$</definedName>
    <definedName name="CONF_RAW">'PYTHON_BRIDGE'!$A3$</definedName>
    <definedName name="LATENCY_MS">'PYTHON_BRIDGE'!$A4$</definedName>
    <definedName name="RECENT_LOSSES">'PYTHON_BRIDGE'!$A5$</definedName>
    <definedName name="DRAWDOWN">'PYTHON_BRIDGE'!$A6$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GENIUS BOT HYBRID TOPURIA MODE</t>
        </is>
      </c>
    </row>
    <row r="2">
      <c r="A2" t="inlineStr">
        <is>
          <t>Balanced-Aggressive with Controlled Frequency</t>
        </is>
      </c>
    </row>
    <row r="3">
      <c r="A3" t="inlineStr">
        <is>
          <t>Optimized for excel_live_core.py</t>
        </is>
      </c>
    </row>
    <row r="5">
      <c r="A5" t="inlineStr">
        <is>
          <t>Design Goals:</t>
        </is>
      </c>
    </row>
    <row r="6">
      <c r="A6" t="inlineStr">
        <is>
          <t>- Higher trade frequency than swing mode</t>
        </is>
      </c>
    </row>
    <row r="7">
      <c r="A7" t="inlineStr">
        <is>
          <t>- Still capital protected</t>
        </is>
      </c>
    </row>
    <row r="8">
      <c r="A8" t="inlineStr">
        <is>
          <t>- Fee-aware edge</t>
        </is>
      </c>
    </row>
    <row r="9">
      <c r="A9" t="inlineStr">
        <is>
          <t>- Works well on 15m timeframe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G10" sqref="G10"/>
    </sheetView>
  </sheetViews>
  <sheetFormatPr baseColWidth="8" defaultRowHeight="15"/>
  <cols>
    <col width="28.42578125" customWidth="1" min="1" max="1"/>
  </cols>
  <sheetData>
    <row r="1">
      <c r="A1" t="inlineStr">
        <is>
          <t>component</t>
        </is>
      </c>
      <c r="B1" t="inlineStr">
        <is>
          <t>weight</t>
        </is>
      </c>
      <c r="C1" t="inlineStr">
        <is>
          <t>threshold</t>
        </is>
      </c>
      <c r="D1" t="inlineStr">
        <is>
          <t>normalized_weight</t>
        </is>
      </c>
      <c r="E1" t="inlineStr">
        <is>
          <t>regime_weight</t>
        </is>
      </c>
      <c r="F1" t="inlineStr">
        <is>
          <t>dynamic_weight</t>
        </is>
      </c>
      <c r="G1" t="inlineStr">
        <is>
          <t>overfit_guard</t>
        </is>
      </c>
      <c r="H1" t="inlineStr">
        <is>
          <t>final_weight</t>
        </is>
      </c>
      <c r="I1" t="inlineStr">
        <is>
          <t>weight_norm_check</t>
        </is>
      </c>
    </row>
    <row r="2">
      <c r="A2" t="inlineStr">
        <is>
          <t>trend strength</t>
        </is>
      </c>
      <c r="B2" t="n">
        <v>0.27</v>
      </c>
      <c r="C2" t="n">
        <v>0.25</v>
      </c>
      <c r="D2">
        <f>B2/SUM(B:B)</f>
        <v/>
      </c>
      <c r="E2">
        <f>IF(C2&gt;0.7, D2*0.7, D2)</f>
        <v/>
      </c>
      <c r="F2">
        <f>E2*0.9</f>
        <v/>
      </c>
      <c r="G2">
        <f>IF(F2&gt;0.4,0.8,1)</f>
        <v/>
      </c>
      <c r="H2">
        <f>F2*G2</f>
        <v/>
      </c>
      <c r="I2">
        <f>IF(ABS(SUM(H2:INDEX(H:H,MATCH("zzz",A:A)))-1)&lt;=0.01,"OK","FAIL")</f>
        <v/>
      </c>
    </row>
    <row r="3">
      <c r="A3" t="inlineStr">
        <is>
          <t>structure validation</t>
        </is>
      </c>
      <c r="B3" t="n">
        <v>0.22</v>
      </c>
      <c r="C3" t="inlineStr">
        <is>
          <t>TRUE</t>
        </is>
      </c>
      <c r="D3">
        <f>B3/SUM(B:B)</f>
        <v/>
      </c>
      <c r="E3">
        <f>IF(C3&gt;0.7, D3*0.7, D3)</f>
        <v/>
      </c>
      <c r="F3">
        <f>E3*0.9</f>
        <v/>
      </c>
      <c r="G3">
        <f>IF(F3&gt;0.4,0.8,1)</f>
        <v/>
      </c>
      <c r="H3">
        <f>F3*G3</f>
        <v/>
      </c>
    </row>
    <row r="4">
      <c r="A4" t="inlineStr">
        <is>
          <t>volume confirmation</t>
        </is>
      </c>
      <c r="B4" t="n">
        <v>0.16</v>
      </c>
      <c r="C4" t="n">
        <v>0.3</v>
      </c>
      <c r="D4">
        <f>B4/SUM(B:B)</f>
        <v/>
      </c>
      <c r="E4">
        <f>IF(C4&gt;0.7, D4*0.7, D4)</f>
        <v/>
      </c>
      <c r="F4">
        <f>E4*0.9</f>
        <v/>
      </c>
      <c r="G4">
        <f>IF(F4&gt;0.4,0.8,1)</f>
        <v/>
      </c>
      <c r="H4">
        <f>F4*G4</f>
        <v/>
      </c>
    </row>
    <row r="5">
      <c r="A5" t="inlineStr">
        <is>
          <t>risk state modifier</t>
        </is>
      </c>
      <c r="B5" t="n">
        <v>0.13</v>
      </c>
      <c r="C5" t="inlineStr">
        <is>
          <t>OK</t>
        </is>
      </c>
      <c r="D5">
        <f>B5/SUM(B:B)</f>
        <v/>
      </c>
      <c r="E5">
        <f>IF(C5&gt;0.7, D5*0.7, D5)</f>
        <v/>
      </c>
      <c r="F5">
        <f>E5*0.9</f>
        <v/>
      </c>
      <c r="G5">
        <f>IF(F5&gt;0.4,0.8,1)</f>
        <v/>
      </c>
      <c r="H5">
        <f>F5*G5</f>
        <v/>
      </c>
    </row>
    <row r="6">
      <c r="A6" t="inlineStr">
        <is>
          <t>confidence score</t>
        </is>
      </c>
      <c r="B6" t="n">
        <v>0.14</v>
      </c>
      <c r="C6" t="n">
        <v>0.45</v>
      </c>
      <c r="D6">
        <f>B6/SUM(B:B)</f>
        <v/>
      </c>
      <c r="E6">
        <f>IF(C6&gt;0.7, D6*0.7, D6)</f>
        <v/>
      </c>
      <c r="F6">
        <f>E6*0.9</f>
        <v/>
      </c>
      <c r="G6">
        <f>IF(F6&gt;0.4,0.8,1)</f>
        <v/>
      </c>
      <c r="H6">
        <f>F6*G6</f>
        <v/>
      </c>
    </row>
    <row r="7">
      <c r="A7" t="inlineStr">
        <is>
          <t>volatility regime</t>
        </is>
      </c>
      <c r="B7" t="n">
        <v>0.08</v>
      </c>
      <c r="C7" t="inlineStr">
        <is>
          <t>NORMAL</t>
        </is>
      </c>
      <c r="D7">
        <f>B7/SUM(B:B)</f>
        <v/>
      </c>
      <c r="E7">
        <f>IF(C7&gt;0.7, D7*0.7, D7)</f>
        <v/>
      </c>
      <c r="F7">
        <f>E7*0.9</f>
        <v/>
      </c>
      <c r="G7">
        <f>IF(F7&gt;0.4,0.8,1)</f>
        <v/>
      </c>
      <c r="H7">
        <f>F7*G7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note</t>
        </is>
      </c>
      <c r="D1" t="inlineStr">
        <is>
          <t>signal_type</t>
        </is>
      </c>
      <c r="E1" t="inlineStr">
        <is>
          <t>confidence</t>
        </is>
      </c>
      <c r="F1" t="inlineStr">
        <is>
          <t>price</t>
        </is>
      </c>
      <c r="G1" t="inlineStr">
        <is>
          <t>timeframe</t>
        </is>
      </c>
      <c r="H1" t="inlineStr">
        <is>
          <t>strategy_id</t>
        </is>
      </c>
      <c r="Z1" t="inlineStr">
        <is>
          <t>ALLOW_TRADE</t>
        </is>
      </c>
    </row>
    <row r="2">
      <c r="A2" t="inlineStr">
        <is>
          <t>2026-02-21 19:00:21</t>
        </is>
      </c>
      <c r="B2" t="inlineStr">
        <is>
          <t>ETH/USDT</t>
        </is>
      </c>
      <c r="C2" t="inlineStr">
        <is>
          <t>TOPURIA_TEST_SIGNAL</t>
        </is>
      </c>
      <c r="Z2">
        <f>'SIGNAL_GATING'!C4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ATR_MIN</t>
        </is>
      </c>
      <c r="E1" t="inlineStr">
        <is>
          <t>ATR_MAX</t>
        </is>
      </c>
      <c r="F1" t="inlineStr">
        <is>
          <t>ATR_SMOOTH</t>
        </is>
      </c>
      <c r="G1" t="inlineStr">
        <is>
          <t>ATR_EMA</t>
        </is>
      </c>
      <c r="H1" t="inlineStr">
        <is>
          <t>REGIME_HYST</t>
        </is>
      </c>
    </row>
    <row r="2">
      <c r="A2" t="inlineStr">
        <is>
          <t>LOW</t>
        </is>
      </c>
      <c r="B2" t="n">
        <v>0.2</v>
      </c>
      <c r="G2">
        <f>0.8*B2+0.2*B2</f>
        <v/>
      </c>
      <c r="H2">
        <f>IF(AND(G2&gt;B2,G2&lt;C2),A1,A2)</f>
        <v/>
      </c>
    </row>
    <row r="3">
      <c r="A3" t="inlineStr">
        <is>
          <t>NORMAL</t>
        </is>
      </c>
      <c r="B3" t="n">
        <v>0.25</v>
      </c>
      <c r="G3">
        <f>0.8*B3+0.2*B2</f>
        <v/>
      </c>
      <c r="H3">
        <f>IF(AND(G3&gt;B3,G3&lt;C3),A2,A3)</f>
        <v/>
      </c>
    </row>
    <row r="4">
      <c r="A4" t="inlineStr">
        <is>
          <t>EXTREME</t>
        </is>
      </c>
      <c r="B4" t="n">
        <v>0.4</v>
      </c>
      <c r="G4">
        <f>0.8*B4+0.2*B3</f>
        <v/>
      </c>
      <c r="H4">
        <f>IF(AND(G4&gt;B4,G4&lt;C4),A3,A4)</f>
        <v/>
      </c>
    </row>
    <row r="5">
      <c r="A5" t="inlineStr">
        <is>
          <t>timestamp</t>
        </is>
      </c>
      <c r="B5" t="inlineStr">
        <is>
          <t>symbol</t>
        </is>
      </c>
      <c r="C5" t="inlineStr">
        <is>
          <t>volatility</t>
        </is>
      </c>
      <c r="D5" t="inlineStr">
        <is>
          <t>regime</t>
        </is>
      </c>
      <c r="G5">
        <f>0.8*B5+0.2*B4</f>
        <v/>
      </c>
      <c r="H5">
        <f>IF(AND(G5&gt;B5,G5&lt;C5),A4,A5)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volatility</t>
        </is>
      </c>
      <c r="D1" t="inlineStr">
        <is>
          <t>spread</t>
        </is>
      </c>
      <c r="E1" t="inlineStr">
        <is>
          <t>regime</t>
        </is>
      </c>
      <c r="F1" t="inlineStr">
        <is>
          <t>allow_trade</t>
        </is>
      </c>
      <c r="G1" t="inlineStr">
        <is>
          <t>cooldown_ok</t>
        </is>
      </c>
      <c r="H1" t="inlineStr">
        <is>
          <t>min_time_between_trades</t>
        </is>
      </c>
      <c r="I1" t="inlineStr">
        <is>
          <t>trades_last_hour</t>
        </is>
      </c>
      <c r="J1" t="inlineStr">
        <is>
          <t>throttle_ok</t>
        </is>
      </c>
    </row>
    <row r="2">
      <c r="F2">
        <f>IF(OR(C2&gt;0.08,D2&gt;0.002,E2="CHAOTIC"),"BLOCK","ALLOW")</f>
        <v/>
      </c>
      <c r="G2">
        <f>TRUE</f>
        <v/>
      </c>
      <c r="H2" t="inlineStr">
        <is>
          <t>60</t>
        </is>
      </c>
      <c r="I2" t="inlineStr">
        <is>
          <t>0</t>
        </is>
      </c>
      <c r="J2">
        <f>IF(I2&lt;=5,TRUE,FALSE)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MAX_RISK</t>
        </is>
      </c>
      <c r="E1" t="inlineStr">
        <is>
          <t>equity_drawdown_trigger</t>
        </is>
      </c>
      <c r="F1" t="inlineStr">
        <is>
          <t>position_size_multiplier</t>
        </is>
      </c>
      <c r="G1" t="inlineStr">
        <is>
          <t>equity</t>
        </is>
      </c>
      <c r="H1" t="inlineStr">
        <is>
          <t>peak_equity</t>
        </is>
      </c>
      <c r="I1" t="inlineStr">
        <is>
          <t>drawdown_pct</t>
        </is>
      </c>
      <c r="J1" t="inlineStr">
        <is>
          <t>recovery_mode</t>
        </is>
      </c>
    </row>
    <row r="2">
      <c r="A2" t="inlineStr">
        <is>
          <t>NORMAL</t>
        </is>
      </c>
      <c r="B2" t="n">
        <v>1</v>
      </c>
      <c r="H2">
        <f>MAX(G2:G2)</f>
        <v/>
      </c>
      <c r="I2">
        <f>IFERROR((G2-H2)/H2,0)</f>
        <v/>
      </c>
      <c r="J2">
        <f>IF(I2&lt;-0.1,"RECOVERY","NORMAL")</f>
        <v/>
      </c>
    </row>
    <row r="3">
      <c r="A3" t="inlineStr">
        <is>
          <t>DEFENSIVE</t>
        </is>
      </c>
      <c r="B3" t="n">
        <v>0.7</v>
      </c>
      <c r="H3">
        <f>MAX(G2:G3)</f>
        <v/>
      </c>
      <c r="I3">
        <f>IFERROR((G3-H3)/H3,0)</f>
        <v/>
      </c>
      <c r="J3">
        <f>IF(I3&lt;-0.1,"RECOVERY","NORMAL")</f>
        <v/>
      </c>
    </row>
    <row r="4">
      <c r="A4" t="inlineStr">
        <is>
          <t>CRISIS</t>
        </is>
      </c>
      <c r="B4" t="n">
        <v>0.4</v>
      </c>
      <c r="H4">
        <f>MAX(G2:G4)</f>
        <v/>
      </c>
      <c r="I4">
        <f>IFERROR((G4-H4)/H4,0)</f>
        <v/>
      </c>
      <c r="J4">
        <f>IF(I4&lt;-0.1,"RECOVERY","NORMAL")</f>
        <v/>
      </c>
    </row>
    <row r="5">
      <c r="A5" t="inlineStr">
        <is>
          <t>timestamp</t>
        </is>
      </c>
      <c r="B5" t="inlineStr">
        <is>
          <t>capital_state</t>
        </is>
      </c>
      <c r="C5" t="inlineStr">
        <is>
          <t>protection_level</t>
        </is>
      </c>
      <c r="D5" t="inlineStr">
        <is>
          <t>trading_allowed</t>
        </is>
      </c>
      <c r="H5">
        <f>MAX(G2:G5)</f>
        <v/>
      </c>
      <c r="I5">
        <f>IFERROR((G5-H5)/H5,0)</f>
        <v/>
      </c>
      <c r="J5">
        <f>IF(I5&lt;-0.1,"RECOVERY","NORMAL")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VOL_REGIME</t>
        </is>
      </c>
      <c r="B1" t="inlineStr">
        <is>
          <t>SLIPPAGE_PCT</t>
        </is>
      </c>
      <c r="G1" t="inlineStr">
        <is>
          <t>effective_slippage</t>
        </is>
      </c>
      <c r="H1" t="inlineStr">
        <is>
          <t>spread_pct</t>
        </is>
      </c>
      <c r="I1" t="inlineStr">
        <is>
          <t>liquidity_tier</t>
        </is>
      </c>
      <c r="J1" t="inlineStr">
        <is>
          <t>limit_offset</t>
        </is>
      </c>
      <c r="K1" t="inlineStr">
        <is>
          <t>depth_proxy</t>
        </is>
      </c>
      <c r="L1" t="inlineStr">
        <is>
          <t>base_slippage_pct</t>
        </is>
      </c>
    </row>
    <row r="2">
      <c r="A2" t="inlineStr">
        <is>
          <t>LOW</t>
        </is>
      </c>
      <c r="B2" t="n">
        <v>0.1</v>
      </c>
      <c r="G2">
        <f>L2*K2</f>
        <v/>
      </c>
      <c r="I2">
        <f>IF(H2&lt;0.001,"HIGH","LOW")</f>
        <v/>
      </c>
      <c r="J2">
        <f>IF(G2="","",G2*0.5)</f>
        <v/>
      </c>
      <c r="K2">
        <f>IF(H2="","",IF(H2&lt;0.001,0.8,1.2))</f>
        <v/>
      </c>
      <c r="L2">
        <f>B2</f>
        <v/>
      </c>
    </row>
    <row r="3">
      <c r="A3" t="inlineStr">
        <is>
          <t>NORMAL</t>
        </is>
      </c>
      <c r="B3" t="n">
        <v>0.15</v>
      </c>
      <c r="G3">
        <f>L3*K3</f>
        <v/>
      </c>
      <c r="I3">
        <f>IF(H3&lt;0.001,"HIGH","LOW")</f>
        <v/>
      </c>
      <c r="J3">
        <f>IF(G3="","",G3*0.5)</f>
        <v/>
      </c>
      <c r="K3">
        <f>IF(H3="","",IF(H3&lt;0.001,0.8,1.2))</f>
        <v/>
      </c>
      <c r="L3">
        <f>B3</f>
        <v/>
      </c>
    </row>
    <row r="4">
      <c r="A4" t="inlineStr">
        <is>
          <t>EXTREME</t>
        </is>
      </c>
      <c r="B4" t="n">
        <v>0.3</v>
      </c>
      <c r="G4">
        <f>L4*K4</f>
        <v/>
      </c>
      <c r="I4">
        <f>IF(H4&lt;0.001,"HIGH","LOW")</f>
        <v/>
      </c>
      <c r="J4">
        <f>IF(G4="","",G4*0.5)</f>
        <v/>
      </c>
      <c r="K4">
        <f>IF(H4="","",IF(H4&lt;0.001,0.8,1.2))</f>
        <v/>
      </c>
      <c r="L4">
        <f>B4</f>
        <v/>
      </c>
    </row>
    <row r="5">
      <c r="A5" t="inlineStr">
        <is>
          <t>timestamp</t>
        </is>
      </c>
      <c r="B5" t="inlineStr">
        <is>
          <t>symbol</t>
        </is>
      </c>
      <c r="C5" t="inlineStr">
        <is>
          <t>expected_price</t>
        </is>
      </c>
      <c r="D5" t="inlineStr">
        <is>
          <t>fill_price</t>
        </is>
      </c>
      <c r="E5" t="inlineStr">
        <is>
          <t>slippage_pct</t>
        </is>
      </c>
      <c r="F5" t="inlineStr">
        <is>
          <t>slippage_flag</t>
        </is>
      </c>
      <c r="G5">
        <f>L5*K5</f>
        <v/>
      </c>
      <c r="I5">
        <f>IF(H5&lt;0.001,"HIGH","LOW")</f>
        <v/>
      </c>
      <c r="J5">
        <f>IF(G5="","",G5*0.5)</f>
        <v/>
      </c>
      <c r="K5">
        <f>IF(H5="","",IF(H5&lt;0.001,0.8,1.2))</f>
        <v/>
      </c>
      <c r="L5">
        <f>B5</f>
        <v/>
      </c>
    </row>
    <row r="6">
      <c r="E6">
        <f>(D2-C2)/C2</f>
        <v/>
      </c>
      <c r="F6">
        <f>IF(ABS(E2)&gt;0.002,"HIGH_SLIPPAGE","OK")</f>
        <v/>
      </c>
      <c r="G6">
        <f>L6*K6</f>
        <v/>
      </c>
      <c r="I6">
        <f>IF(H6&lt;0.001,"HIGH","LOW")</f>
        <v/>
      </c>
      <c r="J6">
        <f>IF(G6="","",G6*0.5)</f>
        <v/>
      </c>
      <c r="K6">
        <f>IF(H6="","",IF(H6&lt;0.001,0.8,1.2))</f>
        <v/>
      </c>
      <c r="L6">
        <f>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pnl</t>
        </is>
      </c>
      <c r="C1" t="inlineStr">
        <is>
          <t>rolling_trades</t>
        </is>
      </c>
      <c r="D1" t="inlineStr">
        <is>
          <t>rolling_edge</t>
        </is>
      </c>
      <c r="E1" t="inlineStr">
        <is>
          <t>edge_state</t>
        </is>
      </c>
      <c r="F1" t="inlineStr">
        <is>
          <t>kill_switch</t>
        </is>
      </c>
    </row>
    <row r="2">
      <c r="C2" t="n">
        <v>30</v>
      </c>
      <c r="D2">
        <f>AVERAGE(B2:INDEX(B:B,ROW()+C2-1))</f>
        <v/>
      </c>
      <c r="E2">
        <f>IF(D2&lt;0,"EDGE_WEAK","EDGE_OK")</f>
        <v/>
      </c>
      <c r="F2">
        <f>IF(D2&lt;0,"OFF","ON")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equity</t>
        </is>
      </c>
      <c r="C1" t="inlineStr">
        <is>
          <t>open_risk</t>
        </is>
      </c>
      <c r="D1" t="inlineStr">
        <is>
          <t>heat_pct</t>
        </is>
      </c>
      <c r="E1" t="inlineStr">
        <is>
          <t>exposure_cap</t>
        </is>
      </c>
      <c r="F1" t="inlineStr">
        <is>
          <t>heat_ok</t>
        </is>
      </c>
      <c r="G1" t="inlineStr">
        <is>
          <t>position_size</t>
        </is>
      </c>
      <c r="H1" t="inlineStr">
        <is>
          <t>atr_risk_factor</t>
        </is>
      </c>
      <c r="I1" t="inlineStr">
        <is>
          <t>kelly_fraction</t>
        </is>
      </c>
      <c r="J1" t="inlineStr">
        <is>
          <t>atr_pct_input</t>
        </is>
      </c>
    </row>
    <row r="2">
      <c r="D2">
        <f>IFERROR(C2/B2,0)</f>
        <v/>
      </c>
      <c r="E2" t="n">
        <v>0.3</v>
      </c>
      <c r="F2">
        <f>IF(D2&lt;E2,TRUE,FALSE)</f>
        <v/>
      </c>
      <c r="G2">
        <f>IF(F2, B2*I2*H2, 0)</f>
        <v/>
      </c>
      <c r="H2">
        <f>IF(J2&lt;=0,1,MAX(0.3,MIN(1,1/J2)))</f>
        <v/>
      </c>
      <c r="I2">
        <f>MIN(0.02,0.01)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volatility_regime_ssot</t>
        </is>
      </c>
      <c r="B2">
        <f>IF(VOLATILITY_REGIME!A2="","NORMAL",VOLATILITY_REGIME!A2)</f>
        <v/>
      </c>
      <c r="C2" t="inlineStr">
        <is>
          <t>Single source of truth for regime</t>
        </is>
      </c>
    </row>
    <row r="3">
      <c r="A3" t="inlineStr">
        <is>
          <t>final_weight_sum</t>
        </is>
      </c>
      <c r="B3">
        <f>SUM(WEIGHT_THRESHOLD_MATRIX!H:H)</f>
        <v/>
      </c>
      <c r="C3" t="inlineStr">
        <is>
          <t>Blended dynamic weights check</t>
        </is>
      </c>
    </row>
    <row r="4">
      <c r="A4" t="inlineStr">
        <is>
          <t>portfolio_heat</t>
        </is>
      </c>
      <c r="B4">
        <f>PORTFOLIO_RISK_ENGINE!D2</f>
        <v/>
      </c>
      <c r="C4" t="inlineStr">
        <is>
          <t>Portfolio heat %</t>
        </is>
      </c>
    </row>
    <row r="5">
      <c r="A5" t="inlineStr">
        <is>
          <t>position_size_usd</t>
        </is>
      </c>
      <c r="B5">
        <f>PORTFOLIO_RISK_ENGINE!G2</f>
        <v/>
      </c>
      <c r="C5" t="inlineStr">
        <is>
          <t>Dynamic position sizing</t>
        </is>
      </c>
    </row>
    <row r="6">
      <c r="A6" t="inlineStr">
        <is>
          <t>effective_slippage_pct</t>
        </is>
      </c>
      <c r="B6">
        <f>SLIPPAGE_CONTROL!G2</f>
        <v/>
      </c>
      <c r="C6" t="inlineStr">
        <is>
          <t>Execution slippage estimate</t>
        </is>
      </c>
    </row>
    <row r="7">
      <c r="A7" t="inlineStr">
        <is>
          <t>confidence_score_input</t>
        </is>
      </c>
      <c r="B7" t="n">
        <v>0</v>
      </c>
    </row>
    <row r="8">
      <c r="A8" t="inlineStr">
        <is>
          <t>volatility_regime_input</t>
        </is>
      </c>
      <c r="B8" t="n">
        <v>0</v>
      </c>
    </row>
    <row r="9">
      <c r="A9" t="inlineStr">
        <is>
          <t>volume_score_input</t>
        </is>
      </c>
      <c r="B9" t="n">
        <v>0</v>
      </c>
    </row>
    <row r="10">
      <c r="A10" t="inlineStr">
        <is>
          <t>trend_strength_input</t>
        </is>
      </c>
      <c r="B10" t="n">
        <v>0</v>
      </c>
    </row>
    <row r="11">
      <c r="A11" t="inlineStr">
        <is>
          <t>structure_ok_input</t>
        </is>
      </c>
      <c r="B11" t="n">
        <v>0</v>
      </c>
    </row>
    <row r="12">
      <c r="A12" t="inlineStr">
        <is>
          <t>symbol_name_input</t>
        </is>
      </c>
      <c r="B12" t="inlineStr">
        <is>
          <t>BTC/USDT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</t>
        </is>
      </c>
      <c r="B1" t="inlineStr">
        <is>
          <t>Formula</t>
        </is>
      </c>
      <c r="C1" t="inlineStr">
        <is>
          <t>Description</t>
        </is>
      </c>
      <c r="Z1" t="inlineStr">
        <is>
          <t>EXCHANGE_HEALTH_SCORE</t>
        </is>
      </c>
      <c r="AA1" t="inlineStr">
        <is>
          <t>RISK_OFF_FLAG</t>
        </is>
      </c>
    </row>
    <row r="2">
      <c r="A2" t="inlineStr">
        <is>
          <t>CONF_ADJ</t>
        </is>
      </c>
      <c r="B2">
        <f>confidence_score * IF(volatility_regime="EXTREME",0.7,1)</f>
        <v/>
      </c>
      <c r="C2" t="inlineStr">
        <is>
          <t>Confidence adjusted by volatility regime</t>
        </is>
      </c>
      <c r="Z2">
        <f>'INSTITUTIONAL_HARDENING'!F4</f>
        <v/>
      </c>
      <c r="AA2">
        <f>'INSTITUTIONAL_HARDENING'!F7</f>
        <v/>
      </c>
    </row>
    <row r="3">
      <c r="A3" t="inlineStr">
        <is>
          <t>VOL_OK</t>
        </is>
      </c>
      <c r="B3">
        <f>volume_score&gt;0.35</f>
        <v/>
      </c>
      <c r="C3" t="inlineStr">
        <is>
          <t>Volume confirmation gate</t>
        </is>
      </c>
    </row>
    <row r="4">
      <c r="A4" t="inlineStr">
        <is>
          <t>TREND_OK</t>
        </is>
      </c>
      <c r="B4">
        <f>trend_strength&gt;0.42</f>
        <v/>
      </c>
      <c r="C4" t="inlineStr">
        <is>
          <t>Trend persistence helper</t>
        </is>
      </c>
    </row>
    <row r="5">
      <c r="A5" t="inlineStr">
        <is>
          <t>STRUCT_WEIGHT</t>
        </is>
      </c>
      <c r="B5">
        <f>IF(structure_ok,1,0.6)</f>
        <v/>
      </c>
      <c r="C5" t="inlineStr">
        <is>
          <t>Soft structure weighting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</t>
        </is>
      </c>
      <c r="B1" t="inlineStr">
        <is>
          <t>Formula</t>
        </is>
      </c>
      <c r="C1" t="inlineStr">
        <is>
          <t>Description</t>
        </is>
      </c>
    </row>
    <row r="2">
      <c r="A2" t="inlineStr">
        <is>
          <t>REGIME_MEMORY</t>
        </is>
      </c>
      <c r="B2">
        <f>IF(volatility_regime="LOW",0.7,IF(volatility_regime="EXTREME",0.6,1))</f>
        <v/>
      </c>
      <c r="C2" t="inlineStr">
        <is>
          <t>Institutional regime memory proxy</t>
        </is>
      </c>
    </row>
    <row r="3">
      <c r="A3" t="inlineStr">
        <is>
          <t>CONF_DYNAMIC</t>
        </is>
      </c>
      <c r="B3">
        <f>MIN(1, CONF_ADJ * REGIME_MEMORY * (0.75 + trend_strength*0.5))</f>
        <v/>
      </c>
      <c r="C3" t="inlineStr">
        <is>
          <t>Mr. JAIANI adaptive confidence</t>
        </is>
      </c>
    </row>
    <row r="4">
      <c r="A4" t="inlineStr">
        <is>
          <t>TP_ADAPTIVE</t>
        </is>
      </c>
      <c r="B4">
        <f>IF(volatility_regime="EXTREME",1.6,IF(volatility_regime="LOW",0.9,1.3))</f>
        <v/>
      </c>
      <c r="C4" t="inlineStr">
        <is>
          <t>Volatility adaptive TP suggestion</t>
        </is>
      </c>
    </row>
    <row r="5">
      <c r="A5" t="inlineStr">
        <is>
          <t>SIZE_MULTIPLIER</t>
        </is>
      </c>
      <c r="B5">
        <f>MIN(1.5,MAX(0.5,0.6 + trend_strength*0.8))</f>
        <v/>
      </c>
      <c r="C5" t="inlineStr">
        <is>
          <t>Smart position scaling</t>
        </is>
      </c>
    </row>
    <row r="6">
      <c r="A6" t="inlineStr">
        <is>
          <t>POSITION_SIZE_FACTOR</t>
        </is>
      </c>
      <c r="B6">
        <f>SIZE_MULTIPLIER * CONF_DYNAMIC</f>
        <v/>
      </c>
      <c r="C6" t="inlineStr">
        <is>
          <t>Final position scaling factor</t>
        </is>
      </c>
    </row>
    <row r="8">
      <c r="A8" t="inlineStr">
        <is>
          <t>SYMBOL_HASH</t>
        </is>
      </c>
      <c r="B8">
        <f>LEN(symbol_name)</f>
        <v/>
      </c>
      <c r="C8" t="inlineStr">
        <is>
          <t>Symbol hash proxy</t>
        </is>
      </c>
    </row>
    <row r="9">
      <c r="A9" t="inlineStr">
        <is>
          <t>SYMBOL_FACTOR</t>
        </is>
      </c>
      <c r="B9">
        <f>1 + (MOD(SYMBOL_HASH,5)-2)/50</f>
        <v/>
      </c>
      <c r="C9" t="inlineStr">
        <is>
          <t>Per-symbol intelligence factor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METRIC</t>
        </is>
      </c>
      <c r="C1" s="1" t="inlineStr">
        <is>
          <t>INPUT</t>
        </is>
      </c>
      <c r="D1" s="1" t="inlineStr">
        <is>
          <t>FORMULA / LOGIC</t>
        </is>
      </c>
      <c r="E1" s="1" t="inlineStr">
        <is>
          <t>OUTPUT_NAME</t>
        </is>
      </c>
      <c r="F1" s="1" t="inlineStr">
        <is>
          <t>OUTPUT_VALUE</t>
        </is>
      </c>
    </row>
    <row r="2">
      <c r="A2" t="inlineStr">
        <is>
          <t>Chop Killer v2</t>
        </is>
      </c>
      <c r="B2" t="inlineStr">
        <is>
          <t>ATR Compression</t>
        </is>
      </c>
      <c r="C2" t="inlineStr">
        <is>
          <t>ATR_PCTL</t>
        </is>
      </c>
      <c r="D2">
        <f>IF(ATR_PCTL&lt;0.25,1,IF(ATR_PCTL&lt;0.4,0.5,0))</f>
        <v/>
      </c>
      <c r="E2" t="inlineStr">
        <is>
          <t>CHOP_FILTER</t>
        </is>
      </c>
      <c r="F2">
        <f>D2</f>
        <v/>
      </c>
    </row>
    <row r="3">
      <c r="A3" t="inlineStr">
        <is>
          <t>Confidence Realism</t>
        </is>
      </c>
      <c r="B3" t="inlineStr">
        <is>
          <t>Diminishing Curve</t>
        </is>
      </c>
      <c r="C3" t="inlineStr">
        <is>
          <t>CONF_RAW</t>
        </is>
      </c>
      <c r="D3">
        <f>1-EXP(-3*CONF_RAW)</f>
        <v/>
      </c>
      <c r="E3" t="inlineStr">
        <is>
          <t>CONF_REAL</t>
        </is>
      </c>
      <c r="F3">
        <f>D3</f>
        <v/>
      </c>
    </row>
    <row r="4">
      <c r="A4" t="inlineStr">
        <is>
          <t>Exchange Health</t>
        </is>
      </c>
      <c r="B4" t="inlineStr">
        <is>
          <t>Health Score</t>
        </is>
      </c>
      <c r="C4" t="inlineStr">
        <is>
          <t>LATENCY_MS</t>
        </is>
      </c>
      <c r="D4">
        <f>MAX(0,MIN(1,1-(LATENCY_MS/LATENCY_MAX_MS)))</f>
        <v/>
      </c>
      <c r="E4" t="inlineStr">
        <is>
          <t>EXCHANGE_HEALTH_SCORE</t>
        </is>
      </c>
      <c r="F4">
        <f>D4</f>
        <v/>
      </c>
    </row>
    <row r="5">
      <c r="A5" t="inlineStr">
        <is>
          <t>Volatility Engine</t>
        </is>
      </c>
      <c r="B5" t="inlineStr">
        <is>
          <t>Vol State</t>
        </is>
      </c>
      <c r="C5" t="inlineStr">
        <is>
          <t>ATR_PCTL</t>
        </is>
      </c>
      <c r="D5">
        <f>IF(ATR_PCTL&gt;0.8,"HIGH",IF(ATR_PCTL&lt;0.2,"LOW","MID"))</f>
        <v/>
      </c>
      <c r="E5" t="inlineStr">
        <is>
          <t>VOL_STATE</t>
        </is>
      </c>
      <c r="F5">
        <f>D5</f>
        <v/>
      </c>
    </row>
    <row r="6">
      <c r="A6" t="inlineStr">
        <is>
          <t>Adaptive Cooldown</t>
        </is>
      </c>
      <c r="B6" t="inlineStr">
        <is>
          <t>Cooldown Weight</t>
        </is>
      </c>
      <c r="C6" t="inlineStr">
        <is>
          <t>RECENT_LOSSES</t>
        </is>
      </c>
      <c r="D6">
        <f>MIN(1,RECENT_LOSSES/LOSS_SCALE)</f>
        <v/>
      </c>
      <c r="E6" t="inlineStr">
        <is>
          <t>COOLDOWN_WEIGHT</t>
        </is>
      </c>
      <c r="F6">
        <f>D6</f>
        <v/>
      </c>
    </row>
    <row r="7">
      <c r="A7" t="inlineStr">
        <is>
          <t>Kill Switch L1</t>
        </is>
      </c>
      <c r="B7" t="inlineStr">
        <is>
          <t>Soft Risk Off</t>
        </is>
      </c>
      <c r="C7" t="inlineStr">
        <is>
          <t>DRAWDOWN</t>
        </is>
      </c>
      <c r="D7">
        <f>IF(DRAWDOWN&gt;DD_SOFT,1,0)</f>
        <v/>
      </c>
      <c r="E7" t="inlineStr">
        <is>
          <t>RISK_OFF_FLAG</t>
        </is>
      </c>
      <c r="F7">
        <f>D7</f>
        <v/>
      </c>
    </row>
    <row r="8">
      <c r="A8" t="inlineStr">
        <is>
          <t>Kill Switch L2</t>
        </is>
      </c>
      <c r="B8" t="inlineStr">
        <is>
          <t>Hard Stop</t>
        </is>
      </c>
      <c r="C8" t="inlineStr">
        <is>
          <t>DRAWDOWN</t>
        </is>
      </c>
      <c r="D8">
        <f>IF(DRAWDOWN&gt;DD_HARD,1,0)</f>
        <v/>
      </c>
      <c r="E8" t="inlineStr">
        <is>
          <t>HARD_STOP_FLAG</t>
        </is>
      </c>
      <c r="F8">
        <f>D8</f>
        <v/>
      </c>
    </row>
    <row r="9">
      <c r="A9" t="inlineStr">
        <is>
          <t>Kill Switch L3</t>
        </is>
      </c>
      <c r="B9" t="inlineStr">
        <is>
          <t>Emergency</t>
        </is>
      </c>
      <c r="C9" t="inlineStr">
        <is>
          <t>DRAWDOWN</t>
        </is>
      </c>
      <c r="D9">
        <f>IF(DRAWDOWN&gt;DD_EMERG,1,0)</f>
        <v/>
      </c>
      <c r="E9" t="inlineStr">
        <is>
          <t>EMERGENCY_FLAG</t>
        </is>
      </c>
      <c r="F9">
        <f>D9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DD_SOFT</t>
        </is>
      </c>
      <c r="B2" t="n">
        <v>0.08</v>
      </c>
    </row>
    <row r="3">
      <c r="A3" t="inlineStr">
        <is>
          <t>DD_HARD</t>
        </is>
      </c>
      <c r="B3" t="n">
        <v>0.15</v>
      </c>
    </row>
    <row r="4">
      <c r="A4" t="inlineStr">
        <is>
          <t>DD_EMERG</t>
        </is>
      </c>
      <c r="B4" t="n">
        <v>0.25</v>
      </c>
    </row>
    <row r="5">
      <c r="A5" t="inlineStr">
        <is>
          <t>LATENCY_MAX_MS</t>
        </is>
      </c>
      <c r="B5" t="n">
        <v>500</v>
      </c>
    </row>
    <row r="6">
      <c r="A6" t="inlineStr">
        <is>
          <t>LOSS_SCALE</t>
        </is>
      </c>
      <c r="B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OUTPUT</t>
        </is>
      </c>
    </row>
    <row r="2">
      <c r="A2" t="inlineStr">
        <is>
          <t>CONF_BASE</t>
        </is>
      </c>
      <c r="B2">
        <f>CONF_RAW</f>
        <v/>
      </c>
      <c r="C2">
        <f>B2</f>
        <v/>
      </c>
    </row>
    <row r="3">
      <c r="A3" t="inlineStr">
        <is>
          <t>HEALTH_DAMP</t>
        </is>
      </c>
      <c r="B3">
        <f>'INSTITUTIONAL_HARDENING'!F4</f>
        <v/>
      </c>
      <c r="C3">
        <f>B3</f>
        <v/>
      </c>
    </row>
    <row r="4">
      <c r="A4" t="inlineStr">
        <is>
          <t>RISK_DAMP</t>
        </is>
      </c>
      <c r="B4">
        <f>IF('INSTITUTIONAL_HARDENING'!F7=1,0.5,1)</f>
        <v/>
      </c>
      <c r="C4">
        <f>B4</f>
        <v/>
      </c>
    </row>
    <row r="5">
      <c r="A5" t="inlineStr">
        <is>
          <t>CONF_FINAL</t>
        </is>
      </c>
      <c r="B5">
        <f>MAX(0,MIN(1,C2*C3*C4))</f>
        <v/>
      </c>
      <c r="C5">
        <f>B5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FORMULA</t>
        </is>
      </c>
      <c r="C1" s="1" t="inlineStr">
        <is>
          <t>ALLOW_TRADE</t>
        </is>
      </c>
    </row>
    <row r="2">
      <c r="A2" t="inlineStr">
        <is>
          <t>KILL_SWITCH_BLOCK</t>
        </is>
      </c>
      <c r="B2">
        <f>IF('INSTITUTIONAL_HARDENING'!F8=1,0,1)</f>
        <v/>
      </c>
      <c r="C2">
        <f>B2</f>
        <v/>
      </c>
    </row>
    <row r="3">
      <c r="A3" t="inlineStr">
        <is>
          <t>EMERGENCY_BLOCK</t>
        </is>
      </c>
      <c r="B3">
        <f>IF('INSTITUTIONAL_HARDENING'!F9=1,0,1)</f>
        <v/>
      </c>
      <c r="C3">
        <f>B3</f>
        <v/>
      </c>
    </row>
    <row r="4">
      <c r="A4" t="inlineStr">
        <is>
          <t>MASTER_ALLOW</t>
        </is>
      </c>
      <c r="B4">
        <f>MIN(C2,C3)</f>
        <v/>
      </c>
      <c r="C4">
        <f>B4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</t>
        </is>
      </c>
      <c r="B1" s="1" t="inlineStr">
        <is>
          <t>FORMULA</t>
        </is>
      </c>
      <c r="C1" s="1" t="inlineStr">
        <is>
          <t>OUTPUT</t>
        </is>
      </c>
    </row>
    <row r="2">
      <c r="A2" t="inlineStr">
        <is>
          <t>COOLDOWN_VOL_COUPLING</t>
        </is>
      </c>
      <c r="B2">
        <f>MIN(1,ATR_PCTL*'INSTITUTIONAL_HARDENING'!F6)</f>
        <v/>
      </c>
      <c r="C2">
        <f>B2</f>
        <v/>
      </c>
    </row>
    <row r="3">
      <c r="A3" t="inlineStr">
        <is>
          <t>HEALTH_SIZE_SCALE</t>
        </is>
      </c>
      <c r="B3">
        <f>'INSTITUTIONAL_HARDENING'!F4</f>
        <v/>
      </c>
      <c r="C3">
        <f>B3</f>
        <v/>
      </c>
    </row>
    <row r="4">
      <c r="A4" t="inlineStr">
        <is>
          <t>DD_SIZE_SCALE</t>
        </is>
      </c>
      <c r="B4">
        <f>IF(DRAWDOWN&gt;DD_SOFT,0.7,1)</f>
        <v/>
      </c>
      <c r="C4">
        <f>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2026-02-21T09:40:44Z</dcterms:created>
  <dcterms:modified xmlns:dcterms="http://purl.org/dc/terms/" xmlns:xsi="http://www.w3.org/2001/XMLSchema-instance" xsi:type="dcterms:W3CDTF">2026-02-23T18:37:15Z</dcterms:modified>
  <cp:lastModifiedBy>Zezva</cp:lastModifiedBy>
</cp:coreProperties>
</file>